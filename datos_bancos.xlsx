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hidePivotFieldList="1"/>
  <xr:revisionPtr revIDLastSave="0" documentId="8_{D4D5A2A2-C413-4700-B1BB-51A37F623F09}" xr6:coauthVersionLast="47" xr6:coauthVersionMax="47" xr10:uidLastSave="{00000000-0000-0000-0000-000000000000}"/>
  <bookViews>
    <workbookView xWindow="0" yWindow="0" windowWidth="16384" windowHeight="8192" tabRatio="500" firstSheet="2" activeTab="4" xr2:uid="{00000000-000D-0000-FFFF-FFFF00000000}"/>
  </bookViews>
  <sheets>
    <sheet name="Datos" sheetId="1" r:id="rId1"/>
    <sheet name="Ratios" sheetId="2" r:id="rId2"/>
    <sheet name="Datos-Largos" sheetId="3" r:id="rId3"/>
    <sheet name="Tabla dinamica " sheetId="4" r:id="rId4"/>
    <sheet name="Resumen ejecutivo" sheetId="5" r:id="rId5"/>
  </sheets>
  <calcPr calcId="191028" iterateDelta="1E-4"/>
  <pivotCaches>
    <pivotCache cacheId="178"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9" i="5" l="1"/>
  <c r="E9" i="5"/>
  <c r="D9" i="5"/>
  <c r="C9" i="5"/>
  <c r="B9" i="5"/>
  <c r="F7" i="5"/>
  <c r="E7" i="5"/>
  <c r="D7" i="5"/>
  <c r="C7" i="5"/>
  <c r="B7" i="5"/>
  <c r="F5" i="5"/>
  <c r="E5" i="5"/>
  <c r="D5" i="5"/>
  <c r="C5" i="5"/>
  <c r="B5" i="5"/>
  <c r="G10" i="2"/>
  <c r="F10" i="2"/>
  <c r="E10" i="2"/>
  <c r="D10" i="2"/>
  <c r="C10" i="2"/>
  <c r="F8" i="2"/>
  <c r="E8" i="2"/>
  <c r="D8" i="2"/>
  <c r="C8" i="2"/>
  <c r="E7" i="2"/>
  <c r="D7" i="2"/>
  <c r="G7" i="2"/>
  <c r="C7" i="2"/>
  <c r="F7" i="2"/>
  <c r="F5" i="2"/>
  <c r="G5" i="2"/>
  <c r="F9" i="2"/>
  <c r="G9" i="2"/>
  <c r="E6" i="2"/>
  <c r="D6" i="2"/>
  <c r="C6" i="2"/>
  <c r="E5" i="2"/>
  <c r="D5" i="2"/>
  <c r="C5" i="2"/>
  <c r="E9" i="2"/>
  <c r="D9" i="2"/>
  <c r="C9" i="2"/>
</calcChain>
</file>

<file path=xl/sharedStrings.xml><?xml version="1.0" encoding="utf-8"?>
<sst xmlns="http://schemas.openxmlformats.org/spreadsheetml/2006/main" count="127" uniqueCount="46">
  <si>
    <t>Ratios financieros bancarios — Santander, BBVA, CaixaBank</t>
  </si>
  <si>
    <t>Datos brutos extraídos de resultados anuales oficiales (FY2025 / FY2024). Celdas en azul = dato de entrada (hardcoded). Ver columna Notas para fuente exacta de cada fila.</t>
  </si>
  <si>
    <t>Banco</t>
  </si>
  <si>
    <t>Año</t>
  </si>
  <si>
    <t>Beneficio neto atribuido (M€)</t>
  </si>
  <si>
    <t>Activos totales (M€)</t>
  </si>
  <si>
    <t>Patrimonio neto (M€)</t>
  </si>
  <si>
    <t>Margen de intereses (M€)</t>
  </si>
  <si>
    <t>Margen bruto / Ingresos totales (M€)</t>
  </si>
  <si>
    <t>Gastos de explotación (M€)</t>
  </si>
  <si>
    <t>Crédito a la clientela (M€)</t>
  </si>
  <si>
    <t>Ratio de morosidad oficial (%)</t>
  </si>
  <si>
    <t>ROE oficial reportado (%)</t>
  </si>
  <si>
    <t>ROTE oficial reportado (%)</t>
  </si>
  <si>
    <t>Ratio de eficiencia oficial (%)</t>
  </si>
  <si>
    <t>CET1 fully loaded (%)</t>
  </si>
  <si>
    <t>Notas / Fuente</t>
  </si>
  <si>
    <t>Santander</t>
  </si>
  <si>
    <t>Beneficio, NII, margen bruto, eficiencia, ROTE y CET1: nota de prensa resultados anuales 2025, santander.com (feb-2026). Gastos de explotación estimados = ratio de eficiencia oficial (41,2%) x margen bruto oficial. Crédito a la clientela aproximado ('cerca de 1 billón de euros' en la nota). Activos y patrimonio: stockanalysis.com (balance consolidado SAN). Morosidad no localizada en fuente abierta — pendiente.</t>
  </si>
  <si>
    <t>Beneficio, NII y ROTE derivados de las variaciones % oficiales reportadas para 2025 (+12%, -3,3%, +0,8pp respectivamente). Margen bruto asumido ~plano respecto a 2025 (el banco lo reportó así). Activos y patrimonio: stockanalysis.com. Gastos de explotación, eficiencia y CET1 2024 no localizados de forma fiable — dejados en blanco.</t>
  </si>
  <si>
    <t>BBVA</t>
  </si>
  <si>
    <t>Beneficio, NII, margen bruto, gastos, morosidad, ROTE, eficiencia y CET1: nota de prensa resultados 4T2025, accionistaseinversores.bbva.com (feb-2026). Activos y patrimonio: stockanalysis.com (balance consolidado BBVA). Crédito a la clientela: el banco solo reportó variación % (+16,2%), no el importe — dejado en blanco.</t>
  </si>
  <si>
    <t>Beneficio, NII, margen bruto y gastos derivados de las variaciones % oficiales reportadas para 2025 (+4,5%, +13,9%, +16,3%, +10,5% respectivamente). Eficiencia 2024 derivada (2025 mejoró 206 p.b.: 38,8% + 2,06% = 40,9%). Activos y patrimonio: stockanalysis.com. Morosidad, ROTE y CET1 2024 no localizados — en blanco.</t>
  </si>
  <si>
    <t>CaixaBank</t>
  </si>
  <si>
    <t>Todos los datos: nota de prensa 'Resultados 2025', caixabank.com. Fila más completa — útil para comprobar tus fórmulas de la hoja Ratios contra el ROE/ROTE/eficiencia que el propio banco reporta.</t>
  </si>
  <si>
    <t>Todos los datos: misma nota de prensa 'Resultados 2025' de CaixaBank (incluye comparativa 2024).</t>
  </si>
  <si>
    <t>Ratios calculados</t>
  </si>
  <si>
    <t>Leyenda: la fila verde (CaixaBank 2025) ya está resuelta con fórmulas, como ejemplo — míralas para ver el patrón. Las celdas en AMARILLO son las que tienes que completar tú, con una fórmula que apunte a la hoja 'Datos' (no copies el número, escribe la fórmula).</t>
  </si>
  <si>
    <t>ROE = Beneficio neto / Patrimonio neto</t>
  </si>
  <si>
    <t>ROA = Beneficio neto / Activos totales</t>
  </si>
  <si>
    <t>Margen de intereses s/ activos (NII / Activos totales)</t>
  </si>
  <si>
    <t>Ratio de eficiencia = Gastos de explotación / Margen bruto</t>
  </si>
  <si>
    <t>CET1 (referencia directa desde Datos)</t>
  </si>
  <si>
    <t>Notas</t>
  </si>
  <si>
    <t>Ejemplo resuelto — compáralo con el ROE/ROTE/eficiencia oficiales de la hoja Datos.</t>
  </si>
  <si>
    <t>Métrica</t>
  </si>
  <si>
    <t>Valor</t>
  </si>
  <si>
    <t>ROE</t>
  </si>
  <si>
    <t>ROA</t>
  </si>
  <si>
    <t>Margen de intereses s/activos</t>
  </si>
  <si>
    <t>Ratio de eficiencia</t>
  </si>
  <si>
    <t>CET1</t>
  </si>
  <si>
    <t>Suma de Valor</t>
  </si>
  <si>
    <t>Resumen ejecutivo — Ratios 2025</t>
  </si>
  <si>
    <t>CET 1</t>
  </si>
  <si>
    <t>BBVA es el banco que mejor rinde en 2025: el ROE y el ROA más altos de los tres, y además el que menos gasta por cada euro que gana (ratio de eficiencia más bajo). Santander va por detrás en rentabilidad, pero tiene el CET1 más alto, así que es el que más colchón de capital guarda por si vienen mal dadas. CaixaBank se queda en un punto intermedio en casi todo, sin destacar ni quedar mal en ningún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</si>
</sst>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family val="2"/>
      <charset val="1"/>
    </font>
    <font>
      <b/>
      <sz val="14"/>
      <name val="Arial"/>
      <charset val="1"/>
    </font>
    <font>
      <i/>
      <sz val="10"/>
      <color rgb="FF595959"/>
      <name val="Arial"/>
      <charset val="1"/>
    </font>
    <font>
      <b/>
      <sz val="10"/>
      <color rgb="FFFFFFFF"/>
      <name val="Arial"/>
      <charset val="1"/>
    </font>
    <font>
      <b/>
      <sz val="10"/>
      <name val="Arial"/>
      <charset val="1"/>
    </font>
    <font>
      <sz val="10"/>
      <color rgb="FF0000FF"/>
      <name val="Arial"/>
      <charset val="1"/>
    </font>
    <font>
      <i/>
      <sz val="9"/>
      <color rgb="FF595959"/>
      <name val="Arial"/>
      <charset val="1"/>
    </font>
    <font>
      <sz val="10"/>
      <color rgb="FF000000"/>
      <name val="Arial"/>
      <charset val="1"/>
    </font>
    <font>
      <b/>
      <sz val="11"/>
      <color theme="1"/>
      <name val="Calibri"/>
      <family val="2"/>
      <charset val="1"/>
    </font>
  </fonts>
  <fills count="8">
    <fill>
      <patternFill patternType="none"/>
    </fill>
    <fill>
      <patternFill patternType="gray125"/>
    </fill>
    <fill>
      <patternFill patternType="solid">
        <fgColor rgb="FF1F4E5F"/>
        <bgColor rgb="FF333333"/>
      </patternFill>
    </fill>
    <fill>
      <patternFill patternType="solid">
        <fgColor rgb="FFFFFF00"/>
        <bgColor rgb="FFFFFF00"/>
      </patternFill>
    </fill>
    <fill>
      <patternFill patternType="solid">
        <fgColor rgb="FFE2EFDA"/>
        <bgColor rgb="FFD9D9D9"/>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2">
    <xf numFmtId="0" fontId="0" fillId="0" borderId="0" xfId="0"/>
    <xf numFmtId="0" fontId="3" fillId="2" borderId="1" xfId="0" applyFont="1" applyFill="1" applyBorder="1" applyAlignment="1">
      <alignment horizontal="center" vertical="center" wrapText="1"/>
    </xf>
    <xf numFmtId="0" fontId="4" fillId="0" borderId="1" xfId="0" applyFont="1" applyBorder="1"/>
    <xf numFmtId="0" fontId="5" fillId="0" borderId="1" xfId="0" applyFont="1" applyBorder="1" applyAlignment="1">
      <alignment horizontal="center" vertical="center"/>
    </xf>
    <xf numFmtId="3" fontId="5" fillId="0" borderId="1" xfId="0" applyNumberFormat="1" applyFont="1" applyBorder="1" applyAlignment="1">
      <alignment horizontal="center" vertical="center"/>
    </xf>
    <xf numFmtId="164" fontId="5" fillId="0" borderId="1" xfId="0" applyNumberFormat="1" applyFont="1" applyBorder="1" applyAlignment="1">
      <alignment horizontal="center" vertical="center"/>
    </xf>
    <xf numFmtId="0" fontId="6" fillId="0" borderId="1" xfId="0" applyFont="1" applyBorder="1" applyAlignment="1">
      <alignment vertical="top" wrapText="1"/>
    </xf>
    <xf numFmtId="0" fontId="4" fillId="0" borderId="1" xfId="0" applyFont="1" applyBorder="1" applyAlignment="1">
      <alignment horizontal="center"/>
    </xf>
    <xf numFmtId="164" fontId="0" fillId="3" borderId="1" xfId="0" applyNumberFormat="1" applyFill="1" applyBorder="1"/>
    <xf numFmtId="164" fontId="7" fillId="4" borderId="1" xfId="0" applyNumberFormat="1" applyFont="1" applyFill="1" applyBorder="1"/>
    <xf numFmtId="0" fontId="6" fillId="4" borderId="1" xfId="0" applyFont="1" applyFill="1" applyBorder="1" applyAlignment="1">
      <alignment vertical="top" wrapText="1"/>
    </xf>
    <xf numFmtId="0" fontId="0" fillId="0" borderId="0" xfId="0" pivotButton="1"/>
    <xf numFmtId="0" fontId="0" fillId="0" borderId="0" xfId="0" applyNumberFormat="1"/>
    <xf numFmtId="10" fontId="0" fillId="0" borderId="0" xfId="0" applyNumberFormat="1"/>
    <xf numFmtId="0" fontId="1" fillId="0" borderId="0" xfId="0" applyFont="1" applyBorder="1" applyAlignment="1"/>
    <xf numFmtId="0" fontId="2" fillId="0" borderId="0" xfId="0" applyFont="1" applyBorder="1" applyAlignment="1"/>
    <xf numFmtId="0" fontId="0" fillId="0" borderId="0" xfId="0" applyAlignment="1">
      <alignment horizontal="left"/>
    </xf>
    <xf numFmtId="0" fontId="8" fillId="0" borderId="0" xfId="0" applyFont="1"/>
    <xf numFmtId="10" fontId="0" fillId="5" borderId="0" xfId="0" applyNumberFormat="1" applyFill="1"/>
    <xf numFmtId="10" fontId="0" fillId="6" borderId="0" xfId="0" applyNumberFormat="1" applyFill="1"/>
    <xf numFmtId="10" fontId="0" fillId="7" borderId="0" xfId="0" applyNumberFormat="1" applyFill="1"/>
    <xf numFmtId="0" fontId="0" fillId="0" borderId="0" xfId="0" applyAlignment="1"/>
  </cellXfs>
  <cellStyles count="1">
    <cellStyle name="Normal" xfId="0" builtinId="0"/>
  </cellStyles>
  <dxfs count="1">
    <dxf>
      <numFmt numFmtId="14" formatCode="0.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8696B"/>
      <color rgb="FFFFEB84"/>
      <color rgb="FF63BE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a:ea typeface="Arial Black"/>
                <a:cs typeface="Arial Black"/>
              </a:defRPr>
            </a:pPr>
            <a:r>
              <a:rPr lang="en-US"/>
              <a:t>ROE por banco — 2025</a:t>
            </a:r>
          </a:p>
        </c:rich>
      </c:tx>
      <c:layout>
        <c:manualLayout>
          <c:xMode val="edge"/>
          <c:yMode val="edge"/>
          <c:x val="0.35218049705685595"/>
          <c:y val="3.2638867696126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lotArea>
      <c:layout/>
      <c:barChart>
        <c:barDir val="col"/>
        <c:grouping val="clustered"/>
        <c:varyColors val="0"/>
        <c:ser>
          <c:idx val="0"/>
          <c:order val="0"/>
          <c:tx>
            <c:strRef>
              <c:f>{"ROE"}</c:f>
              <c:strCache>
                <c:ptCount val="1"/>
                <c:pt idx="0">
                  <c:v>ROE</c:v>
                </c:pt>
              </c:strCache>
            </c:strRef>
          </c:tx>
          <c:spPr>
            <a:solidFill>
              <a:schemeClr val="accent1"/>
            </a:solidFill>
            <a:ln>
              <a:noFill/>
            </a:ln>
            <a:effectLst/>
          </c:spPr>
          <c:invertIfNegative val="0"/>
          <c:cat>
            <c:strRef>
              <c:f>(Ratios!$A$5,Ratios!$A$7,Ratios!$A$9)</c:f>
              <c:strCache>
                <c:ptCount val="3"/>
                <c:pt idx="0">
                  <c:v>Santander</c:v>
                </c:pt>
                <c:pt idx="1">
                  <c:v>BBVA</c:v>
                </c:pt>
                <c:pt idx="2">
                  <c:v>CaixaBank</c:v>
                </c:pt>
              </c:strCache>
            </c:strRef>
          </c:cat>
          <c:val>
            <c:numRef>
              <c:f>(Ratios!$C$5,Ratios!$C$7,Ratios!$C$9)</c:f>
              <c:numCache>
                <c:formatCode>0.0%</c:formatCode>
                <c:ptCount val="3"/>
                <c:pt idx="0">
                  <c:v>0.12506652002696278</c:v>
                </c:pt>
                <c:pt idx="1">
                  <c:v>0.17009191533432585</c:v>
                </c:pt>
                <c:pt idx="2">
                  <c:v>0.15290972330374292</c:v>
                </c:pt>
              </c:numCache>
            </c:numRef>
          </c:val>
          <c:extLst>
            <c:ext xmlns:c16="http://schemas.microsoft.com/office/drawing/2014/chart" uri="{C3380CC4-5D6E-409C-BE32-E72D297353CC}">
              <c16:uniqueId val="{00000003-0325-4B8F-974D-F77BF28982D4}"/>
            </c:ext>
          </c:extLst>
        </c:ser>
        <c:dLbls>
          <c:showLegendKey val="0"/>
          <c:showVal val="0"/>
          <c:showCatName val="0"/>
          <c:showSerName val="0"/>
          <c:showPercent val="0"/>
          <c:showBubbleSize val="0"/>
        </c:dLbls>
        <c:gapWidth val="219"/>
        <c:overlap val="-27"/>
        <c:axId val="62951431"/>
        <c:axId val="62953479"/>
      </c:barChart>
      <c:catAx>
        <c:axId val="62951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3479"/>
        <c:crosses val="autoZero"/>
        <c:auto val="1"/>
        <c:lblAlgn val="ctr"/>
        <c:lblOffset val="100"/>
        <c:noMultiLvlLbl val="0"/>
      </c:catAx>
      <c:valAx>
        <c:axId val="6295347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1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[datos_bancos 2.xlsx]Tabla dinamica !TablaDinámica1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Comparativa de ratios financieros — 2025</a:t>
            </a:r>
          </a:p>
        </c:rich>
      </c:tx>
      <c:layout>
        <c:manualLayout>
          <c:xMode val="edge"/>
          <c:yMode val="edge"/>
          <c:x val="0.20885374119960562"/>
          <c:y val="2.98611534966362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 dinamica '!$B$3:$B$4</c:f>
              <c:strCache>
                <c:ptCount val="1"/>
                <c:pt idx="0">
                  <c:v>CET1</c:v>
                </c:pt>
              </c:strCache>
            </c:strRef>
          </c:tx>
          <c:spPr>
            <a:solidFill>
              <a:schemeClr val="accent1"/>
            </a:solidFill>
            <a:ln>
              <a:noFill/>
            </a:ln>
            <a:effectLst/>
          </c:spPr>
          <c:invertIfNegative val="0"/>
          <c:cat>
            <c:strRef>
              <c:f>'Tabla dinamica '!$A$5:$A$7</c:f>
              <c:strCache>
                <c:ptCount val="3"/>
                <c:pt idx="0">
                  <c:v>BBVA</c:v>
                </c:pt>
                <c:pt idx="1">
                  <c:v>CaixaBank</c:v>
                </c:pt>
                <c:pt idx="2">
                  <c:v>Santander</c:v>
                </c:pt>
              </c:strCache>
            </c:strRef>
          </c:cat>
          <c:val>
            <c:numRef>
              <c:f>'Tabla dinamica '!$B$5:$B$7</c:f>
              <c:numCache>
                <c:formatCode>0.00%</c:formatCode>
                <c:ptCount val="3"/>
                <c:pt idx="0">
                  <c:v>0.127</c:v>
                </c:pt>
                <c:pt idx="1">
                  <c:v>0.126</c:v>
                </c:pt>
                <c:pt idx="2">
                  <c:v>0.13500000000000001</c:v>
                </c:pt>
              </c:numCache>
            </c:numRef>
          </c:val>
          <c:extLst>
            <c:ext xmlns:c16="http://schemas.microsoft.com/office/drawing/2014/chart" uri="{C3380CC4-5D6E-409C-BE32-E72D297353CC}">
              <c16:uniqueId val="{00000000-DAE9-45E9-9204-D436A12DE802}"/>
            </c:ext>
          </c:extLst>
        </c:ser>
        <c:ser>
          <c:idx val="1"/>
          <c:order val="1"/>
          <c:tx>
            <c:strRef>
              <c:f>'Tabla dinamica '!$C$3:$C$4</c:f>
              <c:strCache>
                <c:ptCount val="1"/>
                <c:pt idx="0">
                  <c:v>Margen de intereses s/activos</c:v>
                </c:pt>
              </c:strCache>
            </c:strRef>
          </c:tx>
          <c:spPr>
            <a:solidFill>
              <a:schemeClr val="accent2"/>
            </a:solidFill>
            <a:ln>
              <a:noFill/>
            </a:ln>
            <a:effectLst/>
          </c:spPr>
          <c:invertIfNegative val="0"/>
          <c:cat>
            <c:strRef>
              <c:f>'Tabla dinamica '!$A$5:$A$7</c:f>
              <c:strCache>
                <c:ptCount val="3"/>
                <c:pt idx="0">
                  <c:v>BBVA</c:v>
                </c:pt>
                <c:pt idx="1">
                  <c:v>CaixaBank</c:v>
                </c:pt>
                <c:pt idx="2">
                  <c:v>Santander</c:v>
                </c:pt>
              </c:strCache>
            </c:strRef>
          </c:cat>
          <c:val>
            <c:numRef>
              <c:f>'Tabla dinamica '!$C$5:$C$7</c:f>
              <c:numCache>
                <c:formatCode>0.00%</c:formatCode>
                <c:ptCount val="3"/>
                <c:pt idx="0">
                  <c:v>3.1E-2</c:v>
                </c:pt>
                <c:pt idx="1">
                  <c:v>1.6E-2</c:v>
                </c:pt>
                <c:pt idx="2">
                  <c:v>2.3E-2</c:v>
                </c:pt>
              </c:numCache>
            </c:numRef>
          </c:val>
          <c:extLst>
            <c:ext xmlns:c16="http://schemas.microsoft.com/office/drawing/2014/chart" uri="{C3380CC4-5D6E-409C-BE32-E72D297353CC}">
              <c16:uniqueId val="{00000002-DAE9-45E9-9204-D436A12DE802}"/>
            </c:ext>
          </c:extLst>
        </c:ser>
        <c:ser>
          <c:idx val="2"/>
          <c:order val="2"/>
          <c:tx>
            <c:strRef>
              <c:f>'Tabla dinamica '!$D$3:$D$4</c:f>
              <c:strCache>
                <c:ptCount val="1"/>
                <c:pt idx="0">
                  <c:v>Ratio de eficiencia</c:v>
                </c:pt>
              </c:strCache>
            </c:strRef>
          </c:tx>
          <c:spPr>
            <a:solidFill>
              <a:schemeClr val="accent3"/>
            </a:solidFill>
            <a:ln>
              <a:noFill/>
            </a:ln>
            <a:effectLst/>
          </c:spPr>
          <c:invertIfNegative val="0"/>
          <c:cat>
            <c:strRef>
              <c:f>'Tabla dinamica '!$A$5:$A$7</c:f>
              <c:strCache>
                <c:ptCount val="3"/>
                <c:pt idx="0">
                  <c:v>BBVA</c:v>
                </c:pt>
                <c:pt idx="1">
                  <c:v>CaixaBank</c:v>
                </c:pt>
                <c:pt idx="2">
                  <c:v>Santander</c:v>
                </c:pt>
              </c:strCache>
            </c:strRef>
          </c:cat>
          <c:val>
            <c:numRef>
              <c:f>'Tabla dinamica '!$D$5:$D$7</c:f>
              <c:numCache>
                <c:formatCode>0.00%</c:formatCode>
                <c:ptCount val="3"/>
                <c:pt idx="0">
                  <c:v>0.38800000000000001</c:v>
                </c:pt>
                <c:pt idx="1">
                  <c:v>0.39400000000000002</c:v>
                </c:pt>
                <c:pt idx="2">
                  <c:v>0.41199999999999998</c:v>
                </c:pt>
              </c:numCache>
            </c:numRef>
          </c:val>
          <c:extLst>
            <c:ext xmlns:c16="http://schemas.microsoft.com/office/drawing/2014/chart" uri="{C3380CC4-5D6E-409C-BE32-E72D297353CC}">
              <c16:uniqueId val="{00000004-DAE9-45E9-9204-D436A12DE802}"/>
            </c:ext>
          </c:extLst>
        </c:ser>
        <c:ser>
          <c:idx val="3"/>
          <c:order val="3"/>
          <c:tx>
            <c:strRef>
              <c:f>'Tabla dinamica '!$E$3:$E$4</c:f>
              <c:strCache>
                <c:ptCount val="1"/>
                <c:pt idx="0">
                  <c:v>ROA</c:v>
                </c:pt>
              </c:strCache>
            </c:strRef>
          </c:tx>
          <c:spPr>
            <a:solidFill>
              <a:schemeClr val="accent4"/>
            </a:solidFill>
            <a:ln>
              <a:noFill/>
            </a:ln>
            <a:effectLst/>
          </c:spPr>
          <c:invertIfNegative val="0"/>
          <c:cat>
            <c:strRef>
              <c:f>'Tabla dinamica '!$A$5:$A$7</c:f>
              <c:strCache>
                <c:ptCount val="3"/>
                <c:pt idx="0">
                  <c:v>BBVA</c:v>
                </c:pt>
                <c:pt idx="1">
                  <c:v>CaixaBank</c:v>
                </c:pt>
                <c:pt idx="2">
                  <c:v>Santander</c:v>
                </c:pt>
              </c:strCache>
            </c:strRef>
          </c:cat>
          <c:val>
            <c:numRef>
              <c:f>'Tabla dinamica '!$E$5:$E$7</c:f>
              <c:numCache>
                <c:formatCode>0.00%</c:formatCode>
                <c:ptCount val="3"/>
                <c:pt idx="0">
                  <c:v>1.2E-2</c:v>
                </c:pt>
                <c:pt idx="1">
                  <c:v>8.9999999999999993E-3</c:v>
                </c:pt>
                <c:pt idx="2">
                  <c:v>8.0000000000000002E-3</c:v>
                </c:pt>
              </c:numCache>
            </c:numRef>
          </c:val>
          <c:extLst>
            <c:ext xmlns:c16="http://schemas.microsoft.com/office/drawing/2014/chart" uri="{C3380CC4-5D6E-409C-BE32-E72D297353CC}">
              <c16:uniqueId val="{00000006-DAE9-45E9-9204-D436A12DE802}"/>
            </c:ext>
          </c:extLst>
        </c:ser>
        <c:ser>
          <c:idx val="4"/>
          <c:order val="4"/>
          <c:tx>
            <c:strRef>
              <c:f>'Tabla dinamica '!$F$3:$F$4</c:f>
              <c:strCache>
                <c:ptCount val="1"/>
                <c:pt idx="0">
                  <c:v>ROE</c:v>
                </c:pt>
              </c:strCache>
            </c:strRef>
          </c:tx>
          <c:spPr>
            <a:solidFill>
              <a:schemeClr val="accent5"/>
            </a:solidFill>
            <a:ln>
              <a:noFill/>
            </a:ln>
            <a:effectLst/>
          </c:spPr>
          <c:invertIfNegative val="0"/>
          <c:cat>
            <c:strRef>
              <c:f>'Tabla dinamica '!$A$5:$A$7</c:f>
              <c:strCache>
                <c:ptCount val="3"/>
                <c:pt idx="0">
                  <c:v>BBVA</c:v>
                </c:pt>
                <c:pt idx="1">
                  <c:v>CaixaBank</c:v>
                </c:pt>
                <c:pt idx="2">
                  <c:v>Santander</c:v>
                </c:pt>
              </c:strCache>
            </c:strRef>
          </c:cat>
          <c:val>
            <c:numRef>
              <c:f>'Tabla dinamica '!$F$5:$F$7</c:f>
              <c:numCache>
                <c:formatCode>0.00%</c:formatCode>
                <c:ptCount val="3"/>
                <c:pt idx="0">
                  <c:v>0.17</c:v>
                </c:pt>
                <c:pt idx="1">
                  <c:v>0.153</c:v>
                </c:pt>
                <c:pt idx="2">
                  <c:v>0.125</c:v>
                </c:pt>
              </c:numCache>
            </c:numRef>
          </c:val>
          <c:extLst>
            <c:ext xmlns:c16="http://schemas.microsoft.com/office/drawing/2014/chart" uri="{C3380CC4-5D6E-409C-BE32-E72D297353CC}">
              <c16:uniqueId val="{00000008-DAE9-45E9-9204-D436A12DE802}"/>
            </c:ext>
          </c:extLst>
        </c:ser>
        <c:dLbls>
          <c:showLegendKey val="0"/>
          <c:showVal val="0"/>
          <c:showCatName val="0"/>
          <c:showSerName val="0"/>
          <c:showPercent val="0"/>
          <c:showBubbleSize val="0"/>
        </c:dLbls>
        <c:gapWidth val="219"/>
        <c:overlap val="-27"/>
        <c:axId val="774399495"/>
        <c:axId val="774401543"/>
      </c:barChart>
      <c:catAx>
        <c:axId val="774399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401543"/>
        <c:crosses val="autoZero"/>
        <c:auto val="1"/>
        <c:lblAlgn val="ctr"/>
        <c:lblOffset val="100"/>
        <c:noMultiLvlLbl val="0"/>
      </c:catAx>
      <c:valAx>
        <c:axId val="774401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399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152400</xdr:colOff>
      <xdr:row>4</xdr:row>
      <xdr:rowOff>9525</xdr:rowOff>
    </xdr:from>
    <xdr:to>
      <xdr:col>7</xdr:col>
      <xdr:colOff>190500</xdr:colOff>
      <xdr:row>13</xdr:row>
      <xdr:rowOff>57150</xdr:rowOff>
    </xdr:to>
    <xdr:graphicFrame macro="">
      <xdr:nvGraphicFramePr>
        <xdr:cNvPr id="2" name="Gráfico 1">
          <a:extLst>
            <a:ext uri="{FF2B5EF4-FFF2-40B4-BE49-F238E27FC236}">
              <a16:creationId xmlns:a16="http://schemas.microsoft.com/office/drawing/2014/main" id="{B202D0C8-2798-59B5-0518-0F27EBD10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8</xdr:row>
      <xdr:rowOff>123825</xdr:rowOff>
    </xdr:from>
    <xdr:to>
      <xdr:col>7</xdr:col>
      <xdr:colOff>571500</xdr:colOff>
      <xdr:row>23</xdr:row>
      <xdr:rowOff>9525</xdr:rowOff>
    </xdr:to>
    <xdr:graphicFrame macro="">
      <xdr:nvGraphicFramePr>
        <xdr:cNvPr id="2" name="Gráfico 1">
          <a:extLst>
            <a:ext uri="{FF2B5EF4-FFF2-40B4-BE49-F238E27FC236}">
              <a16:creationId xmlns:a16="http://schemas.microsoft.com/office/drawing/2014/main" id="{0FE98378-CE8B-6B2F-451E-8AC5ED1A1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9.489595486113" createdVersion="8" refreshedVersion="8" minRefreshableVersion="3" recordCount="27" xr:uid="{6F70A3FB-79D2-40AB-9713-30B21B5EEAEE}">
  <cacheSource type="worksheet">
    <worksheetSource ref="A1:D28" sheet="Datos-Largos"/>
  </cacheSource>
  <cacheFields count="4">
    <cacheField name="Banco" numFmtId="0">
      <sharedItems count="3">
        <s v="Santander"/>
        <s v="BBVA"/>
        <s v="CaixaBank"/>
      </sharedItems>
    </cacheField>
    <cacheField name="Año" numFmtId="0">
      <sharedItems containsSemiMixedTypes="0" containsString="0" containsNumber="1" containsInteger="1" minValue="2024" maxValue="2025" count="2">
        <n v="2025"/>
        <n v="2024"/>
      </sharedItems>
    </cacheField>
    <cacheField name="Métrica" numFmtId="0">
      <sharedItems count="5">
        <s v="ROE"/>
        <s v="ROA"/>
        <s v="Margen de intereses s/activos"/>
        <s v="Ratio de eficiencia"/>
        <s v="CET1"/>
      </sharedItems>
    </cacheField>
    <cacheField name="Valor" numFmtId="10">
      <sharedItems containsSemiMixedTypes="0" containsString="0" containsNumber="1" minValue="7.0000000000000001E-3" maxValue="0.41199999999999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x v="0"/>
    <n v="0.125"/>
  </r>
  <r>
    <x v="0"/>
    <x v="0"/>
    <x v="1"/>
    <n v="8.0000000000000002E-3"/>
  </r>
  <r>
    <x v="0"/>
    <x v="0"/>
    <x v="2"/>
    <n v="2.3E-2"/>
  </r>
  <r>
    <x v="0"/>
    <x v="0"/>
    <x v="3"/>
    <n v="0.41199999999999998"/>
  </r>
  <r>
    <x v="0"/>
    <x v="0"/>
    <x v="4"/>
    <n v="0.13500000000000001"/>
  </r>
  <r>
    <x v="0"/>
    <x v="1"/>
    <x v="0"/>
    <n v="0.11700000000000001"/>
  </r>
  <r>
    <x v="0"/>
    <x v="1"/>
    <x v="1"/>
    <n v="7.0000000000000001E-3"/>
  </r>
  <r>
    <x v="0"/>
    <x v="1"/>
    <x v="2"/>
    <n v="2.4E-2"/>
  </r>
  <r>
    <x v="1"/>
    <x v="0"/>
    <x v="0"/>
    <n v="0.17"/>
  </r>
  <r>
    <x v="1"/>
    <x v="0"/>
    <x v="1"/>
    <n v="1.2E-2"/>
  </r>
  <r>
    <x v="1"/>
    <x v="0"/>
    <x v="2"/>
    <n v="3.1E-2"/>
  </r>
  <r>
    <x v="1"/>
    <x v="0"/>
    <x v="3"/>
    <n v="0.38800000000000001"/>
  </r>
  <r>
    <x v="1"/>
    <x v="0"/>
    <x v="4"/>
    <n v="0.127"/>
  </r>
  <r>
    <x v="1"/>
    <x v="1"/>
    <x v="0"/>
    <n v="0.16800000000000001"/>
  </r>
  <r>
    <x v="1"/>
    <x v="1"/>
    <x v="1"/>
    <n v="1.2999999999999999E-2"/>
  </r>
  <r>
    <x v="1"/>
    <x v="1"/>
    <x v="2"/>
    <n v="0.03"/>
  </r>
  <r>
    <x v="1"/>
    <x v="1"/>
    <x v="3"/>
    <n v="0.40799999999999997"/>
  </r>
  <r>
    <x v="2"/>
    <x v="0"/>
    <x v="0"/>
    <n v="0.153"/>
  </r>
  <r>
    <x v="2"/>
    <x v="0"/>
    <x v="1"/>
    <n v="8.9999999999999993E-3"/>
  </r>
  <r>
    <x v="2"/>
    <x v="0"/>
    <x v="2"/>
    <n v="1.6E-2"/>
  </r>
  <r>
    <x v="2"/>
    <x v="0"/>
    <x v="3"/>
    <n v="0.39400000000000002"/>
  </r>
  <r>
    <x v="2"/>
    <x v="0"/>
    <x v="4"/>
    <n v="0.126"/>
  </r>
  <r>
    <x v="2"/>
    <x v="1"/>
    <x v="0"/>
    <n v="0.157"/>
  </r>
  <r>
    <x v="2"/>
    <x v="1"/>
    <x v="1"/>
    <n v="8.9999999999999993E-3"/>
  </r>
  <r>
    <x v="2"/>
    <x v="1"/>
    <x v="2"/>
    <n v="1.7999999999999999E-2"/>
  </r>
  <r>
    <x v="2"/>
    <x v="1"/>
    <x v="3"/>
    <n v="0.38500000000000001"/>
  </r>
  <r>
    <x v="2"/>
    <x v="1"/>
    <x v="4"/>
    <n v="0.1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6E1925-E8BF-4C7A-936D-398A1AB74626}" name="TablaDinámica1" cacheId="178"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chartFormat="1">
  <location ref="A3:F7" firstHeaderRow="1" firstDataRow="2" firstDataCol="1" rowPageCount="1" colPageCount="1"/>
  <pivotFields count="4">
    <pivotField axis="axisRow" compact="0" outline="0" showAll="0">
      <items count="4">
        <item x="1"/>
        <item x="2"/>
        <item x="0"/>
        <item t="default"/>
      </items>
    </pivotField>
    <pivotField axis="axisPage" compact="0" outline="0" showAll="0">
      <items count="3">
        <item h="1" x="1"/>
        <item x="0"/>
        <item t="default"/>
      </items>
    </pivotField>
    <pivotField axis="axisCol" compact="0" outline="0" showAll="0">
      <items count="6">
        <item x="4"/>
        <item x="2"/>
        <item x="3"/>
        <item x="1"/>
        <item x="0"/>
        <item t="default"/>
      </items>
    </pivotField>
    <pivotField dataField="1" compact="0" outline="0" showAll="0"/>
  </pivotFields>
  <rowFields count="1">
    <field x="0"/>
  </rowFields>
  <rowItems count="3">
    <i>
      <x/>
    </i>
    <i>
      <x v="1"/>
    </i>
    <i>
      <x v="2"/>
    </i>
  </rowItems>
  <colFields count="1">
    <field x="2"/>
  </colFields>
  <colItems count="5">
    <i>
      <x/>
    </i>
    <i>
      <x v="1"/>
    </i>
    <i>
      <x v="2"/>
    </i>
    <i>
      <x v="3"/>
    </i>
    <i>
      <x v="4"/>
    </i>
  </colItems>
  <pageFields count="1">
    <pageField fld="1" item="1" hier="-1"/>
  </pageFields>
  <dataFields count="1">
    <dataField name="Suma de Valor" fld="3" baseField="0" baseItem="0"/>
  </dataFields>
  <formats count="1">
    <format dxfId="0">
      <pivotArea outline="0" fieldPosition="0">
        <references count="1">
          <reference field="0" count="0" selected="0"/>
        </references>
      </pivotArea>
    </format>
  </format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
  <sheetViews>
    <sheetView zoomScaleNormal="100" workbookViewId="0">
      <pane xSplit="2" ySplit="4" topLeftCell="E5" activePane="bottomRight" state="frozen"/>
      <selection pane="bottomRight"/>
      <selection pane="bottomLeft" activeCell="A5" sqref="A5"/>
      <selection pane="topRight" activeCell="C1" sqref="C1"/>
    </sheetView>
  </sheetViews>
  <sheetFormatPr defaultColWidth="8.7109375" defaultRowHeight="15"/>
  <cols>
    <col min="1" max="1" width="12" customWidth="1"/>
    <col min="2" max="2" width="7" customWidth="1"/>
    <col min="3" max="3" width="15" customWidth="1"/>
    <col min="4" max="4" width="14" customWidth="1"/>
    <col min="5" max="5" width="13" customWidth="1"/>
    <col min="6" max="6" width="14" customWidth="1"/>
    <col min="7" max="7" width="16" customWidth="1"/>
    <col min="8" max="9" width="14" customWidth="1"/>
    <col min="10" max="10" width="13" customWidth="1"/>
    <col min="11" max="11" width="12" customWidth="1"/>
    <col min="12" max="13" width="13" customWidth="1"/>
    <col min="14" max="14" width="12" customWidth="1"/>
    <col min="15" max="15" width="55" customWidth="1"/>
  </cols>
  <sheetData>
    <row r="1" spans="1:15" ht="17.45">
      <c r="A1" s="14" t="s">
        <v>0</v>
      </c>
      <c r="B1" s="14"/>
      <c r="C1" s="14"/>
      <c r="D1" s="14"/>
      <c r="E1" s="14"/>
    </row>
    <row r="2" spans="1:15">
      <c r="A2" s="15" t="s">
        <v>1</v>
      </c>
      <c r="B2" s="15"/>
      <c r="C2" s="15"/>
      <c r="D2" s="15"/>
      <c r="E2" s="15"/>
      <c r="F2" s="15"/>
      <c r="G2" s="15"/>
      <c r="H2" s="15"/>
      <c r="I2" s="15"/>
      <c r="J2" s="15"/>
      <c r="K2" s="15"/>
      <c r="L2" s="15"/>
      <c r="M2" s="15"/>
      <c r="N2" s="15"/>
      <c r="O2" s="15"/>
    </row>
    <row r="4" spans="1:15" ht="35.1">
      <c r="A4" s="1" t="s">
        <v>2</v>
      </c>
      <c r="B4" s="1" t="s">
        <v>3</v>
      </c>
      <c r="C4" s="1" t="s">
        <v>4</v>
      </c>
      <c r="D4" s="1" t="s">
        <v>5</v>
      </c>
      <c r="E4" s="1" t="s">
        <v>6</v>
      </c>
      <c r="F4" s="1" t="s">
        <v>7</v>
      </c>
      <c r="G4" s="1" t="s">
        <v>8</v>
      </c>
      <c r="H4" s="1" t="s">
        <v>9</v>
      </c>
      <c r="I4" s="1" t="s">
        <v>10</v>
      </c>
      <c r="J4" s="1" t="s">
        <v>11</v>
      </c>
      <c r="K4" s="1" t="s">
        <v>12</v>
      </c>
      <c r="L4" s="1" t="s">
        <v>13</v>
      </c>
      <c r="M4" s="1" t="s">
        <v>14</v>
      </c>
      <c r="N4" s="1" t="s">
        <v>15</v>
      </c>
      <c r="O4" s="1" t="s">
        <v>16</v>
      </c>
    </row>
    <row r="5" spans="1:15" ht="60" customHeight="1">
      <c r="A5" s="2" t="s">
        <v>17</v>
      </c>
      <c r="B5" s="3">
        <v>2025</v>
      </c>
      <c r="C5" s="4">
        <v>14101</v>
      </c>
      <c r="D5" s="4">
        <v>1867515</v>
      </c>
      <c r="E5" s="4">
        <v>112748</v>
      </c>
      <c r="F5" s="4">
        <v>42348</v>
      </c>
      <c r="G5" s="4">
        <v>62390</v>
      </c>
      <c r="H5" s="4">
        <v>25705</v>
      </c>
      <c r="I5" s="4">
        <v>1000000</v>
      </c>
      <c r="J5" s="5"/>
      <c r="K5" s="5"/>
      <c r="L5" s="5">
        <v>0.16300000000000001</v>
      </c>
      <c r="M5" s="5">
        <v>0.41199999999999998</v>
      </c>
      <c r="N5" s="5">
        <v>0.13500000000000001</v>
      </c>
      <c r="O5" s="6" t="s">
        <v>18</v>
      </c>
    </row>
    <row r="6" spans="1:15" ht="60" customHeight="1">
      <c r="A6" s="2" t="s">
        <v>17</v>
      </c>
      <c r="B6" s="3">
        <v>2024</v>
      </c>
      <c r="C6" s="4">
        <v>12590</v>
      </c>
      <c r="D6" s="4">
        <v>1837081</v>
      </c>
      <c r="E6" s="4">
        <v>107327</v>
      </c>
      <c r="F6" s="4">
        <v>43794</v>
      </c>
      <c r="G6" s="4">
        <v>62390</v>
      </c>
      <c r="H6" s="4"/>
      <c r="I6" s="4"/>
      <c r="J6" s="5"/>
      <c r="K6" s="5"/>
      <c r="L6" s="5">
        <v>0.155</v>
      </c>
      <c r="M6" s="5"/>
      <c r="N6" s="5"/>
      <c r="O6" s="6" t="s">
        <v>19</v>
      </c>
    </row>
    <row r="7" spans="1:15" ht="60" customHeight="1">
      <c r="A7" s="2" t="s">
        <v>20</v>
      </c>
      <c r="B7" s="3">
        <v>2025</v>
      </c>
      <c r="C7" s="4">
        <v>10511</v>
      </c>
      <c r="D7" s="4">
        <v>859576</v>
      </c>
      <c r="E7" s="4">
        <v>61796</v>
      </c>
      <c r="F7" s="4">
        <v>26280</v>
      </c>
      <c r="G7" s="4">
        <v>36931</v>
      </c>
      <c r="H7" s="4">
        <v>14332</v>
      </c>
      <c r="I7" s="4"/>
      <c r="J7" s="5">
        <v>2.7E-2</v>
      </c>
      <c r="K7" s="5"/>
      <c r="L7" s="5">
        <v>0.193</v>
      </c>
      <c r="M7" s="5">
        <v>0.38800000000000001</v>
      </c>
      <c r="N7" s="5">
        <v>0.127</v>
      </c>
      <c r="O7" s="6" t="s">
        <v>21</v>
      </c>
    </row>
    <row r="8" spans="1:15" ht="60" customHeight="1">
      <c r="A8" s="2" t="s">
        <v>20</v>
      </c>
      <c r="B8" s="3">
        <v>2024</v>
      </c>
      <c r="C8" s="4">
        <v>10059</v>
      </c>
      <c r="D8" s="4">
        <v>772402</v>
      </c>
      <c r="E8" s="4">
        <v>60013</v>
      </c>
      <c r="F8" s="4">
        <v>23074</v>
      </c>
      <c r="G8" s="4">
        <v>31756</v>
      </c>
      <c r="H8" s="4">
        <v>12970</v>
      </c>
      <c r="I8" s="4"/>
      <c r="J8" s="5"/>
      <c r="K8" s="5"/>
      <c r="L8" s="5"/>
      <c r="M8" s="5">
        <v>0.40899999999999997</v>
      </c>
      <c r="N8" s="5"/>
      <c r="O8" s="6" t="s">
        <v>22</v>
      </c>
    </row>
    <row r="9" spans="1:15" ht="60" customHeight="1">
      <c r="A9" s="2" t="s">
        <v>23</v>
      </c>
      <c r="B9" s="3">
        <v>2025</v>
      </c>
      <c r="C9" s="4">
        <v>5891</v>
      </c>
      <c r="D9" s="4">
        <v>664040</v>
      </c>
      <c r="E9" s="4">
        <v>38526</v>
      </c>
      <c r="F9" s="4">
        <v>10671</v>
      </c>
      <c r="G9" s="4">
        <v>16270</v>
      </c>
      <c r="H9" s="4">
        <v>6415</v>
      </c>
      <c r="I9" s="4">
        <v>384334</v>
      </c>
      <c r="J9" s="5">
        <v>2.1000000000000001E-2</v>
      </c>
      <c r="K9" s="5">
        <v>0.14899999999999999</v>
      </c>
      <c r="L9" s="5">
        <v>0.17499999999999999</v>
      </c>
      <c r="M9" s="5">
        <v>0.39400000000000002</v>
      </c>
      <c r="N9" s="5">
        <v>0.126</v>
      </c>
      <c r="O9" s="6" t="s">
        <v>24</v>
      </c>
    </row>
    <row r="10" spans="1:15" ht="60" customHeight="1">
      <c r="A10" s="2" t="s">
        <v>23</v>
      </c>
      <c r="B10" s="3">
        <v>2024</v>
      </c>
      <c r="C10" s="4">
        <v>5787</v>
      </c>
      <c r="D10" s="4">
        <v>631003</v>
      </c>
      <c r="E10" s="4">
        <v>36865</v>
      </c>
      <c r="F10" s="4">
        <v>11108</v>
      </c>
      <c r="G10" s="4">
        <v>15873</v>
      </c>
      <c r="H10" s="4">
        <v>6108</v>
      </c>
      <c r="I10" s="4">
        <v>361214</v>
      </c>
      <c r="J10" s="5">
        <v>2.5999999999999999E-2</v>
      </c>
      <c r="K10" s="5">
        <v>0.154</v>
      </c>
      <c r="L10" s="5">
        <v>0.18099999999999999</v>
      </c>
      <c r="M10" s="5">
        <v>0.38500000000000001</v>
      </c>
      <c r="N10" s="5">
        <v>0.122</v>
      </c>
      <c r="O10" s="6" t="s">
        <v>25</v>
      </c>
    </row>
  </sheetData>
  <mergeCells count="2">
    <mergeCell ref="A1:E1"/>
    <mergeCell ref="A2:O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zoomScaleNormal="100" workbookViewId="0">
      <pane xSplit="2" ySplit="4" topLeftCell="C5" activePane="bottomRight" state="frozen"/>
      <selection pane="bottomRight" activeCell="J6" sqref="J6"/>
      <selection pane="bottomLeft" activeCell="A5" sqref="A5"/>
      <selection pane="topRight" activeCell="C1" sqref="C1"/>
    </sheetView>
  </sheetViews>
  <sheetFormatPr defaultColWidth="8.7109375" defaultRowHeight="15"/>
  <cols>
    <col min="1" max="1" width="12" customWidth="1"/>
    <col min="2" max="2" width="7" customWidth="1"/>
    <col min="3" max="3" width="22" customWidth="1"/>
    <col min="4" max="4" width="20" customWidth="1"/>
    <col min="5" max="5" width="26" customWidth="1"/>
    <col min="6" max="6" width="24" customWidth="1"/>
    <col min="7" max="7" width="18" customWidth="1"/>
    <col min="8" max="8" width="40" customWidth="1"/>
  </cols>
  <sheetData>
    <row r="1" spans="1:8" ht="18">
      <c r="A1" s="14" t="s">
        <v>26</v>
      </c>
      <c r="B1" s="14"/>
      <c r="C1" s="14"/>
    </row>
    <row r="2" spans="1:8" ht="30" customHeight="1">
      <c r="A2" s="15" t="s">
        <v>27</v>
      </c>
      <c r="B2" s="15"/>
      <c r="C2" s="15"/>
      <c r="D2" s="15"/>
      <c r="E2" s="15"/>
      <c r="F2" s="15"/>
      <c r="G2" s="15"/>
      <c r="H2" s="15"/>
    </row>
    <row r="4" spans="1:8" ht="45" customHeight="1">
      <c r="A4" s="1" t="s">
        <v>2</v>
      </c>
      <c r="B4" s="1" t="s">
        <v>3</v>
      </c>
      <c r="C4" s="1" t="s">
        <v>28</v>
      </c>
      <c r="D4" s="1" t="s">
        <v>29</v>
      </c>
      <c r="E4" s="1" t="s">
        <v>30</v>
      </c>
      <c r="F4" s="1" t="s">
        <v>31</v>
      </c>
      <c r="G4" s="1" t="s">
        <v>32</v>
      </c>
      <c r="H4" s="1" t="s">
        <v>33</v>
      </c>
    </row>
    <row r="5" spans="1:8" ht="30" customHeight="1">
      <c r="A5" s="7" t="s">
        <v>17</v>
      </c>
      <c r="B5" s="7">
        <v>2025</v>
      </c>
      <c r="C5" s="8">
        <f>Datos!C5/Datos!E5</f>
        <v>0.12506652002696278</v>
      </c>
      <c r="D5" s="8">
        <f>Datos!C5/Datos!D5</f>
        <v>7.5506756304500903E-3</v>
      </c>
      <c r="E5" s="8">
        <f>Datos!F5/Datos!D5</f>
        <v>2.2676123083348727E-2</v>
      </c>
      <c r="F5" s="8">
        <f>Datos!H5/Datos!G5</f>
        <v>0.41200512902708769</v>
      </c>
      <c r="G5" s="8">
        <f>Datos!N5</f>
        <v>0.13500000000000001</v>
      </c>
    </row>
    <row r="6" spans="1:8" ht="30" customHeight="1">
      <c r="A6" s="7" t="s">
        <v>17</v>
      </c>
      <c r="B6" s="7">
        <v>2024</v>
      </c>
      <c r="C6" s="8">
        <f>Datos!C6/Datos!E6</f>
        <v>0.11730505837300959</v>
      </c>
      <c r="D6" s="8">
        <f>Datos!C6/Datos!D6</f>
        <v>6.8532634108131327E-3</v>
      </c>
      <c r="E6" s="8">
        <f>Datos!F6/Datos!D6</f>
        <v>2.3838905306842757E-2</v>
      </c>
    </row>
    <row r="7" spans="1:8" ht="30" customHeight="1">
      <c r="A7" s="7" t="s">
        <v>20</v>
      </c>
      <c r="B7" s="7">
        <v>2025</v>
      </c>
      <c r="C7" s="8">
        <f>Datos!C7/Datos!E7</f>
        <v>0.17009191533432585</v>
      </c>
      <c r="D7" s="8">
        <f>Datos!C7/Datos!D7</f>
        <v>1.222812177166417E-2</v>
      </c>
      <c r="E7" s="8">
        <f>Datos!F7/Datos!D7</f>
        <v>3.05732128398187E-2</v>
      </c>
      <c r="F7" s="8">
        <f>Datos!H7/Datos!G7</f>
        <v>0.38807505889361243</v>
      </c>
      <c r="G7" s="8">
        <f>Datos!N7</f>
        <v>0.127</v>
      </c>
    </row>
    <row r="8" spans="1:8" ht="30" customHeight="1">
      <c r="A8" s="7" t="s">
        <v>20</v>
      </c>
      <c r="B8" s="7">
        <v>2024</v>
      </c>
      <c r="C8" s="8">
        <f>Datos!C8/Datos!E8</f>
        <v>0.16761368370186461</v>
      </c>
      <c r="D8" s="8">
        <f>Datos!C8/Datos!D8</f>
        <v>1.302301133347661E-2</v>
      </c>
      <c r="E8" s="8">
        <f>Datos!F8/Datos!D8</f>
        <v>2.9873045383103616E-2</v>
      </c>
      <c r="F8" s="8">
        <f>Datos!H8/Datos!G8</f>
        <v>0.40842675399924422</v>
      </c>
    </row>
    <row r="9" spans="1:8" ht="30" customHeight="1">
      <c r="A9" s="7" t="s">
        <v>23</v>
      </c>
      <c r="B9" s="7">
        <v>2025</v>
      </c>
      <c r="C9" s="9">
        <f>Datos!C9/Datos!E9</f>
        <v>0.15290972330374292</v>
      </c>
      <c r="D9" s="9">
        <f>Datos!C9/Datos!D9</f>
        <v>8.8714535268959709E-3</v>
      </c>
      <c r="E9" s="9">
        <f>Datos!F9/Datos!D9</f>
        <v>1.6069815071381242E-2</v>
      </c>
      <c r="F9" s="9">
        <f>Datos!H9/Datos!G9</f>
        <v>0.39428395820528578</v>
      </c>
      <c r="G9" s="9">
        <f>Datos!N9</f>
        <v>0.126</v>
      </c>
      <c r="H9" s="10" t="s">
        <v>34</v>
      </c>
    </row>
    <row r="10" spans="1:8" ht="30" customHeight="1">
      <c r="A10" s="7" t="s">
        <v>23</v>
      </c>
      <c r="B10" s="7">
        <v>2024</v>
      </c>
      <c r="C10" s="8">
        <f>Datos!C10/Datos!E10</f>
        <v>0.15697816356978164</v>
      </c>
      <c r="D10" s="8">
        <f>Datos!C10/Datos!D10</f>
        <v>9.1711132910620077E-3</v>
      </c>
      <c r="E10" s="8">
        <f>Datos!F10/Datos!D10</f>
        <v>1.7603719792140451E-2</v>
      </c>
      <c r="F10" s="8">
        <f>Datos!H10/Datos!G10</f>
        <v>0.38480438480438478</v>
      </c>
      <c r="G10" s="8">
        <f>Datos!N10</f>
        <v>0.122</v>
      </c>
    </row>
  </sheetData>
  <mergeCells count="2">
    <mergeCell ref="A1:C1"/>
    <mergeCell ref="A2:H2"/>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EF720-0CD8-4276-AC6A-26E9DC8550DC}">
  <dimension ref="A1:D28"/>
  <sheetViews>
    <sheetView workbookViewId="0">
      <selection activeCell="B1" sqref="B1"/>
    </sheetView>
  </sheetViews>
  <sheetFormatPr defaultRowHeight="15"/>
  <cols>
    <col min="1" max="1" width="8.7109375" customWidth="1"/>
    <col min="3" max="3" width="27.85546875" bestFit="1" customWidth="1"/>
    <col min="4" max="4" width="9.140625" style="13"/>
  </cols>
  <sheetData>
    <row r="1" spans="1:4">
      <c r="A1" t="s">
        <v>2</v>
      </c>
      <c r="B1" t="s">
        <v>3</v>
      </c>
      <c r="C1" t="s">
        <v>35</v>
      </c>
      <c r="D1" s="12" t="s">
        <v>36</v>
      </c>
    </row>
    <row r="2" spans="1:4">
      <c r="A2" t="s">
        <v>17</v>
      </c>
      <c r="B2">
        <v>2025</v>
      </c>
      <c r="C2" t="s">
        <v>37</v>
      </c>
      <c r="D2" s="13">
        <v>0.125</v>
      </c>
    </row>
    <row r="3" spans="1:4">
      <c r="A3" t="s">
        <v>17</v>
      </c>
      <c r="B3">
        <v>2025</v>
      </c>
      <c r="C3" t="s">
        <v>38</v>
      </c>
      <c r="D3" s="13">
        <v>8.0000000000000002E-3</v>
      </c>
    </row>
    <row r="4" spans="1:4">
      <c r="A4" t="s">
        <v>17</v>
      </c>
      <c r="B4">
        <v>2025</v>
      </c>
      <c r="C4" t="s">
        <v>39</v>
      </c>
      <c r="D4" s="13">
        <v>2.3E-2</v>
      </c>
    </row>
    <row r="5" spans="1:4">
      <c r="A5" t="s">
        <v>17</v>
      </c>
      <c r="B5">
        <v>2025</v>
      </c>
      <c r="C5" t="s">
        <v>40</v>
      </c>
      <c r="D5" s="13">
        <v>0.41199999999999998</v>
      </c>
    </row>
    <row r="6" spans="1:4">
      <c r="A6" t="s">
        <v>17</v>
      </c>
      <c r="B6">
        <v>2025</v>
      </c>
      <c r="C6" t="s">
        <v>41</v>
      </c>
      <c r="D6" s="13">
        <v>0.13500000000000001</v>
      </c>
    </row>
    <row r="7" spans="1:4">
      <c r="A7" t="s">
        <v>17</v>
      </c>
      <c r="B7">
        <v>2024</v>
      </c>
      <c r="C7" t="s">
        <v>37</v>
      </c>
      <c r="D7" s="13">
        <v>0.11700000000000001</v>
      </c>
    </row>
    <row r="8" spans="1:4">
      <c r="A8" t="s">
        <v>17</v>
      </c>
      <c r="B8">
        <v>2024</v>
      </c>
      <c r="C8" t="s">
        <v>38</v>
      </c>
      <c r="D8" s="13">
        <v>7.0000000000000001E-3</v>
      </c>
    </row>
    <row r="9" spans="1:4">
      <c r="A9" t="s">
        <v>17</v>
      </c>
      <c r="B9">
        <v>2024</v>
      </c>
      <c r="C9" t="s">
        <v>39</v>
      </c>
      <c r="D9" s="13">
        <v>2.4E-2</v>
      </c>
    </row>
    <row r="10" spans="1:4">
      <c r="A10" t="s">
        <v>20</v>
      </c>
      <c r="B10">
        <v>2025</v>
      </c>
      <c r="C10" t="s">
        <v>37</v>
      </c>
      <c r="D10" s="13">
        <v>0.17</v>
      </c>
    </row>
    <row r="11" spans="1:4">
      <c r="A11" t="s">
        <v>20</v>
      </c>
      <c r="B11">
        <v>2025</v>
      </c>
      <c r="C11" t="s">
        <v>38</v>
      </c>
      <c r="D11" s="13">
        <v>1.2E-2</v>
      </c>
    </row>
    <row r="12" spans="1:4">
      <c r="A12" t="s">
        <v>20</v>
      </c>
      <c r="B12">
        <v>2025</v>
      </c>
      <c r="C12" t="s">
        <v>39</v>
      </c>
      <c r="D12" s="13">
        <v>3.1E-2</v>
      </c>
    </row>
    <row r="13" spans="1:4">
      <c r="A13" t="s">
        <v>20</v>
      </c>
      <c r="B13">
        <v>2025</v>
      </c>
      <c r="C13" t="s">
        <v>40</v>
      </c>
      <c r="D13" s="13">
        <v>0.38800000000000001</v>
      </c>
    </row>
    <row r="14" spans="1:4">
      <c r="A14" t="s">
        <v>20</v>
      </c>
      <c r="B14">
        <v>2025</v>
      </c>
      <c r="C14" t="s">
        <v>41</v>
      </c>
      <c r="D14" s="13">
        <v>0.127</v>
      </c>
    </row>
    <row r="15" spans="1:4">
      <c r="A15" t="s">
        <v>20</v>
      </c>
      <c r="B15">
        <v>2024</v>
      </c>
      <c r="C15" t="s">
        <v>37</v>
      </c>
      <c r="D15" s="13">
        <v>0.16800000000000001</v>
      </c>
    </row>
    <row r="16" spans="1:4">
      <c r="A16" t="s">
        <v>20</v>
      </c>
      <c r="B16">
        <v>2024</v>
      </c>
      <c r="C16" t="s">
        <v>38</v>
      </c>
      <c r="D16" s="13">
        <v>1.2999999999999999E-2</v>
      </c>
    </row>
    <row r="17" spans="1:4">
      <c r="A17" t="s">
        <v>20</v>
      </c>
      <c r="B17">
        <v>2024</v>
      </c>
      <c r="C17" t="s">
        <v>39</v>
      </c>
      <c r="D17" s="13">
        <v>0.03</v>
      </c>
    </row>
    <row r="18" spans="1:4">
      <c r="A18" t="s">
        <v>20</v>
      </c>
      <c r="B18">
        <v>2024</v>
      </c>
      <c r="C18" t="s">
        <v>40</v>
      </c>
      <c r="D18" s="13">
        <v>0.40799999999999997</v>
      </c>
    </row>
    <row r="19" spans="1:4">
      <c r="A19" t="s">
        <v>23</v>
      </c>
      <c r="B19">
        <v>2025</v>
      </c>
      <c r="C19" t="s">
        <v>37</v>
      </c>
      <c r="D19" s="13">
        <v>0.153</v>
      </c>
    </row>
    <row r="20" spans="1:4">
      <c r="A20" t="s">
        <v>23</v>
      </c>
      <c r="B20">
        <v>2025</v>
      </c>
      <c r="C20" t="s">
        <v>38</v>
      </c>
      <c r="D20" s="13">
        <v>8.9999999999999993E-3</v>
      </c>
    </row>
    <row r="21" spans="1:4">
      <c r="A21" t="s">
        <v>23</v>
      </c>
      <c r="B21">
        <v>2025</v>
      </c>
      <c r="C21" t="s">
        <v>39</v>
      </c>
      <c r="D21" s="13">
        <v>1.6E-2</v>
      </c>
    </row>
    <row r="22" spans="1:4">
      <c r="A22" t="s">
        <v>23</v>
      </c>
      <c r="B22">
        <v>2025</v>
      </c>
      <c r="C22" t="s">
        <v>40</v>
      </c>
      <c r="D22" s="13">
        <v>0.39400000000000002</v>
      </c>
    </row>
    <row r="23" spans="1:4">
      <c r="A23" t="s">
        <v>23</v>
      </c>
      <c r="B23">
        <v>2025</v>
      </c>
      <c r="C23" t="s">
        <v>41</v>
      </c>
      <c r="D23" s="13">
        <v>0.126</v>
      </c>
    </row>
    <row r="24" spans="1:4">
      <c r="A24" t="s">
        <v>23</v>
      </c>
      <c r="B24">
        <v>2024</v>
      </c>
      <c r="C24" t="s">
        <v>37</v>
      </c>
      <c r="D24" s="13">
        <v>0.157</v>
      </c>
    </row>
    <row r="25" spans="1:4">
      <c r="A25" t="s">
        <v>23</v>
      </c>
      <c r="B25">
        <v>2024</v>
      </c>
      <c r="C25" t="s">
        <v>38</v>
      </c>
      <c r="D25" s="13">
        <v>8.9999999999999993E-3</v>
      </c>
    </row>
    <row r="26" spans="1:4">
      <c r="A26" t="s">
        <v>23</v>
      </c>
      <c r="B26">
        <v>2024</v>
      </c>
      <c r="C26" t="s">
        <v>39</v>
      </c>
      <c r="D26" s="13">
        <v>1.7999999999999999E-2</v>
      </c>
    </row>
    <row r="27" spans="1:4">
      <c r="A27" t="s">
        <v>23</v>
      </c>
      <c r="B27">
        <v>2024</v>
      </c>
      <c r="C27" t="s">
        <v>40</v>
      </c>
      <c r="D27" s="13">
        <v>0.38500000000000001</v>
      </c>
    </row>
    <row r="28" spans="1:4">
      <c r="A28" t="s">
        <v>23</v>
      </c>
      <c r="B28">
        <v>2024</v>
      </c>
      <c r="C28" t="s">
        <v>41</v>
      </c>
      <c r="D28" s="13">
        <v>0.122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949F3-2026-4CA7-BD7E-038B809CBE40}">
  <dimension ref="A1:F7"/>
  <sheetViews>
    <sheetView workbookViewId="0">
      <selection activeCell="I2" sqref="I2"/>
    </sheetView>
  </sheetViews>
  <sheetFormatPr defaultRowHeight="15"/>
  <cols>
    <col min="1" max="1" width="14.140625" bestFit="1" customWidth="1"/>
    <col min="2" max="2" width="11.140625" bestFit="1" customWidth="1"/>
    <col min="3" max="3" width="28.42578125" bestFit="1" customWidth="1"/>
    <col min="4" max="4" width="17.7109375" bestFit="1" customWidth="1"/>
    <col min="5" max="5" width="6.42578125" bestFit="1" customWidth="1"/>
    <col min="6" max="6" width="7.5703125" bestFit="1" customWidth="1"/>
    <col min="7" max="7" width="12.85546875" bestFit="1" customWidth="1"/>
  </cols>
  <sheetData>
    <row r="1" spans="1:6">
      <c r="A1" s="11" t="s">
        <v>3</v>
      </c>
      <c r="B1" s="16">
        <v>2025</v>
      </c>
    </row>
    <row r="3" spans="1:6">
      <c r="A3" s="11" t="s">
        <v>42</v>
      </c>
      <c r="B3" s="11" t="s">
        <v>35</v>
      </c>
    </row>
    <row r="4" spans="1:6">
      <c r="A4" s="11" t="s">
        <v>2</v>
      </c>
      <c r="B4" t="s">
        <v>41</v>
      </c>
      <c r="C4" t="s">
        <v>39</v>
      </c>
      <c r="D4" t="s">
        <v>40</v>
      </c>
      <c r="E4" t="s">
        <v>38</v>
      </c>
      <c r="F4" t="s">
        <v>37</v>
      </c>
    </row>
    <row r="5" spans="1:6">
      <c r="A5" t="s">
        <v>20</v>
      </c>
      <c r="B5" s="13">
        <v>0.127</v>
      </c>
      <c r="C5" s="13">
        <v>3.1E-2</v>
      </c>
      <c r="D5" s="13">
        <v>0.38800000000000001</v>
      </c>
      <c r="E5" s="13">
        <v>1.2E-2</v>
      </c>
      <c r="F5" s="13">
        <v>0.17</v>
      </c>
    </row>
    <row r="6" spans="1:6">
      <c r="A6" t="s">
        <v>23</v>
      </c>
      <c r="B6" s="13">
        <v>0.126</v>
      </c>
      <c r="C6" s="13">
        <v>1.6E-2</v>
      </c>
      <c r="D6" s="13">
        <v>0.39400000000000002</v>
      </c>
      <c r="E6" s="13">
        <v>8.9999999999999993E-3</v>
      </c>
      <c r="F6" s="13">
        <v>0.153</v>
      </c>
    </row>
    <row r="7" spans="1:6">
      <c r="A7" t="s">
        <v>17</v>
      </c>
      <c r="B7" s="13">
        <v>0.13500000000000001</v>
      </c>
      <c r="C7" s="13">
        <v>2.3E-2</v>
      </c>
      <c r="D7" s="13">
        <v>0.41199999999999998</v>
      </c>
      <c r="E7" s="13">
        <v>8.0000000000000002E-3</v>
      </c>
      <c r="F7" s="13">
        <v>0.125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3409F-27EC-4906-801A-5DE01B481DB9}">
  <dimension ref="A1:Q11"/>
  <sheetViews>
    <sheetView tabSelected="1" workbookViewId="0">
      <selection activeCell="A18" sqref="A18"/>
    </sheetView>
  </sheetViews>
  <sheetFormatPr defaultRowHeight="15"/>
  <cols>
    <col min="1" max="1" width="31.42578125" bestFit="1" customWidth="1"/>
    <col min="4" max="4" width="27.85546875" bestFit="1" customWidth="1"/>
    <col min="5" max="5" width="17.140625" bestFit="1" customWidth="1"/>
  </cols>
  <sheetData>
    <row r="1" spans="1:17">
      <c r="A1" t="s">
        <v>43</v>
      </c>
    </row>
    <row r="3" spans="1:17">
      <c r="A3" s="17" t="s">
        <v>2</v>
      </c>
      <c r="B3" s="17" t="s">
        <v>37</v>
      </c>
      <c r="C3" s="17" t="s">
        <v>38</v>
      </c>
      <c r="D3" s="17" t="s">
        <v>39</v>
      </c>
      <c r="E3" s="17" t="s">
        <v>40</v>
      </c>
      <c r="F3" s="17" t="s">
        <v>44</v>
      </c>
    </row>
    <row r="5" spans="1:17">
      <c r="A5" t="s">
        <v>17</v>
      </c>
      <c r="B5" s="18">
        <f>Ratios!C5</f>
        <v>0.12506652002696278</v>
      </c>
      <c r="C5" s="18">
        <f>Ratios!D5</f>
        <v>7.5506756304500903E-3</v>
      </c>
      <c r="D5" s="19">
        <f>Ratios!E5</f>
        <v>2.2676123083348727E-2</v>
      </c>
      <c r="E5" s="18">
        <f>Ratios!F5</f>
        <v>0.41200512902708769</v>
      </c>
      <c r="F5" s="20">
        <f>Ratios!G5</f>
        <v>0.13500000000000001</v>
      </c>
    </row>
    <row r="6" spans="1:17">
      <c r="B6" s="13"/>
      <c r="C6" s="13"/>
      <c r="D6" s="13"/>
      <c r="E6" s="13"/>
      <c r="F6" s="13"/>
    </row>
    <row r="7" spans="1:17">
      <c r="A7" t="s">
        <v>20</v>
      </c>
      <c r="B7" s="20">
        <f>Ratios!C7</f>
        <v>0.17009191533432585</v>
      </c>
      <c r="C7" s="20">
        <f>Ratios!D7</f>
        <v>1.222812177166417E-2</v>
      </c>
      <c r="D7" s="20">
        <f>Ratios!E7</f>
        <v>3.05732128398187E-2</v>
      </c>
      <c r="E7" s="20">
        <f>Ratios!F7</f>
        <v>0.38807505889361243</v>
      </c>
      <c r="F7" s="19">
        <f>Ratios!G7</f>
        <v>0.127</v>
      </c>
    </row>
    <row r="8" spans="1:17">
      <c r="B8" s="13"/>
      <c r="C8" s="13"/>
      <c r="D8" s="13"/>
      <c r="E8" s="13"/>
      <c r="F8" s="13"/>
    </row>
    <row r="9" spans="1:17">
      <c r="A9" t="s">
        <v>23</v>
      </c>
      <c r="B9" s="19">
        <f>Ratios!C9</f>
        <v>0.15290972330374292</v>
      </c>
      <c r="C9" s="19">
        <f>Ratios!D9</f>
        <v>8.8714535268959709E-3</v>
      </c>
      <c r="D9" s="18">
        <f>Ratios!E9</f>
        <v>1.6069815071381242E-2</v>
      </c>
      <c r="E9" s="19">
        <f>Ratios!F9</f>
        <v>0.39428395820528578</v>
      </c>
      <c r="F9" s="18">
        <f>Ratios!G9</f>
        <v>0.126</v>
      </c>
    </row>
    <row r="11" spans="1:17">
      <c r="A11" s="21" t="s">
        <v>45</v>
      </c>
      <c r="B11" s="21"/>
      <c r="C11" s="21"/>
      <c r="D11" s="21"/>
      <c r="E11" s="21"/>
      <c r="F11" s="21"/>
      <c r="G11" s="21"/>
      <c r="H11" s="21"/>
      <c r="I11" s="21"/>
      <c r="J11" s="21"/>
      <c r="K11" s="21"/>
      <c r="L11" s="21"/>
      <c r="M11" s="21"/>
      <c r="N11" s="21"/>
      <c r="O11" s="21"/>
      <c r="P11" s="21"/>
      <c r="Q11"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2026-09-24T08:44:49Z</dcterms:created>
  <dcterms:modified xsi:type="dcterms:W3CDTF">2026-09-28T15:43:39Z</dcterms:modified>
  <cp:category/>
  <cp:contentStatus/>
</cp:coreProperties>
</file>